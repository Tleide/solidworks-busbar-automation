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work\studyAndLearn\SWApiDesign\"/>
    </mc:Choice>
  </mc:AlternateContent>
  <xr:revisionPtr revIDLastSave="0" documentId="13_ncr:1_{5146E30E-F458-4624-AD7D-6E69CFC4EF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说明" sheetId="1" r:id="rId1"/>
    <sheet name="元件库" sheetId="2" r:id="rId2"/>
    <sheet name="铜排规格库" sheetId="3" r:id="rId3"/>
    <sheet name="电气规则" sheetId="4" r:id="rId4"/>
    <sheet name="相序相色" sheetId="5" r:id="rId5"/>
    <sheet name="枚举" sheetId="6" r:id="rId6"/>
  </sheets>
  <calcPr calcId="191029"/>
</workbook>
</file>

<file path=xl/calcChain.xml><?xml version="1.0" encoding="utf-8"?>
<calcChain xmlns="http://schemas.openxmlformats.org/spreadsheetml/2006/main">
  <c r="H13" i="3" l="1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4" i="3"/>
  <c r="D4" i="3"/>
</calcChain>
</file>

<file path=xl/sharedStrings.xml><?xml version="1.0" encoding="utf-8"?>
<sst xmlns="http://schemas.openxmlformats.org/spreadsheetml/2006/main" count="264" uniqueCount="145">
  <si>
    <t>配电箱铜排连接系统 · 二次开发数据层模板</t>
  </si>
  <si>
    <t>用途</t>
  </si>
  <si>
    <t>本工作簿是二次开发路线图 L1.5 阶段的『数据层』地基。把元件、铜排规格、电气规则三类知识固化为结构化数据，供后续程序（C#/VB.NET 插件）读取，驱动选型、建模、校验与文档输出。</t>
  </si>
  <si>
    <t>使用方式</t>
  </si>
  <si>
    <t>先用本 Excel 维护数据，程序用 EPPlus/ClosedXML 读取即可；数据量变大后可平滑迁移到 SQLite，列结构保持一致。</t>
  </si>
  <si>
    <t>Sheet 一览</t>
  </si>
  <si>
    <t>① 元件库：每个端子一行，记录坐标+属性  ② 铜排规格库：规格→载流量  ③ 电气规则：间隙/爬电  ④ 相序相色：相位对照  ⑤ 枚举：下拉值字典</t>
  </si>
  <si>
    <t>重要约定</t>
  </si>
  <si>
    <t>坐标为端子相对『元件原点/参考基准』的局部坐标(mm)，与 SolidWorks 母模型里的特征点命名一一对应（A_OUT/B_IN…）。程序按元件在装配中的放置矩阵换算到全局坐标。</t>
  </si>
  <si>
    <t>数据来源警告</t>
  </si>
  <si>
    <t>表中载流量、间隙、爬电等均为示例/参考值，务必按 GB 7251.1 / IEC 61439、实际工况（环境温度、污染等级、敷设方式）与厂家样本核实后再用于正式设计！</t>
  </si>
  <si>
    <t>黄色行</t>
  </si>
  <si>
    <t>每张表顶部的黄色行是字段说明与填写提示，正式使用时可保留或删除。</t>
  </si>
  <si>
    <t>① 元件库 —— 每个端子一行（坐标为相对元件原点的局部坐标）</t>
  </si>
  <si>
    <t>提示：端子名称须与 SolidWorks 母模型特征点命名一致（如 A_OUT/B_IN/N_IN）。同一型号有几个端子就写几行。</t>
  </si>
  <si>
    <t>元件类型</t>
  </si>
  <si>
    <t>型号</t>
  </si>
  <si>
    <t>端子名称</t>
  </si>
  <si>
    <t>相位</t>
  </si>
  <si>
    <t>进出方向</t>
  </si>
  <si>
    <t>局部X(mm)</t>
  </si>
  <si>
    <t>局部Y(mm)</t>
  </si>
  <si>
    <t>局部Z(mm)</t>
  </si>
  <si>
    <t>额定电流(A)</t>
  </si>
  <si>
    <t>端子宽度(mm)</t>
  </si>
  <si>
    <t>螺栓规格</t>
  </si>
  <si>
    <t>进线法向</t>
  </si>
  <si>
    <t>备注</t>
  </si>
  <si>
    <t>刀熔开关</t>
  </si>
  <si>
    <t>A_OUT</t>
  </si>
  <si>
    <t>A</t>
  </si>
  <si>
    <t>OUT</t>
  </si>
  <si>
    <t>M10</t>
  </si>
  <si>
    <t>-Z</t>
  </si>
  <si>
    <t>三相一体刀熔，A相出线</t>
  </si>
  <si>
    <t>B_OUT</t>
  </si>
  <si>
    <t>B</t>
  </si>
  <si>
    <t>B相出线</t>
  </si>
  <si>
    <t>C_OUT</t>
  </si>
  <si>
    <t>C</t>
  </si>
  <si>
    <t>C相出线</t>
  </si>
  <si>
    <t>漏保(RCBO)</t>
  </si>
  <si>
    <t>IN</t>
  </si>
  <si>
    <t>M6</t>
  </si>
  <si>
    <t>+Z</t>
  </si>
  <si>
    <t>B_IN</t>
  </si>
  <si>
    <t>B相进线</t>
  </si>
  <si>
    <t>C_IN</t>
  </si>
  <si>
    <t>C相进线</t>
  </si>
  <si>
    <t>N_IN</t>
  </si>
  <si>
    <t>N</t>
  </si>
  <si>
    <t>② 铜排规格-载流量库 —— 规格→载流量（含降容）</t>
  </si>
  <si>
    <t>警告：载流量为单条裸铜排参考值，须按 GB/T 实测条件、环境温度与敷设方式核实！『实际可用电流』『截面积』为公式自动计算。</t>
  </si>
  <si>
    <t>规格编号</t>
  </si>
  <si>
    <t>宽度(mm)</t>
  </si>
  <si>
    <t>厚度(mm)</t>
  </si>
  <si>
    <t>截面积(mm²)</t>
  </si>
  <si>
    <t>额定载流量(A)</t>
  </si>
  <si>
    <t>温度降容系数</t>
  </si>
  <si>
    <t>成组降容系数</t>
  </si>
  <si>
    <t>实际可用电流(A)</t>
  </si>
  <si>
    <t>下料模数(mm)</t>
  </si>
  <si>
    <t>折弯半径(mm)</t>
  </si>
  <si>
    <t>用途/相位</t>
  </si>
  <si>
    <t>TMY-15x3</t>
  </si>
  <si>
    <t>R=t</t>
  </si>
  <si>
    <t>N相/小电流</t>
  </si>
  <si>
    <t>TMY-20x3</t>
  </si>
  <si>
    <t>A/B/C相</t>
  </si>
  <si>
    <t>TMY-25x3</t>
  </si>
  <si>
    <t>TMY-30x4</t>
  </si>
  <si>
    <t>R=1.5t</t>
  </si>
  <si>
    <t>TMY-40x4</t>
  </si>
  <si>
    <t>TMY-40x5</t>
  </si>
  <si>
    <t>通用</t>
  </si>
  <si>
    <t>TMY-50x5</t>
  </si>
  <si>
    <t>R=2t</t>
  </si>
  <si>
    <t>TMY-60x6</t>
  </si>
  <si>
    <t>主汇流排</t>
  </si>
  <si>
    <t>TMY-80x6</t>
  </si>
  <si>
    <t>TMY-100x10</t>
  </si>
  <si>
    <t>进线主排</t>
  </si>
  <si>
    <t>③ 电气规则 —— 间隙/爬电/节距（按额定电压与污染等级）</t>
  </si>
  <si>
    <t>警告：以下为示例参考值，务必按 GB 7251.1 / IEC 61439 与 IEC 60664 及实际污染等级、材料组别核实后使用！</t>
  </si>
  <si>
    <t>额定电压(V)</t>
  </si>
  <si>
    <t>额定冲击耐压Uimp(kV)</t>
  </si>
  <si>
    <t>污染等级</t>
  </si>
  <si>
    <t>电气间隙(mm)</t>
  </si>
  <si>
    <t>爬电距离(mm)</t>
  </si>
  <si>
    <t>相间最小节距(mm)</t>
  </si>
  <si>
    <t>对地间隙(mm)</t>
  </si>
  <si>
    <t>依据/备注</t>
  </si>
  <si>
    <t>PD3</t>
  </si>
  <si>
    <t>低压配电典型值，参考</t>
  </si>
  <si>
    <t>PD2</t>
  </si>
  <si>
    <t>较清洁环境，参考</t>
  </si>
  <si>
    <t>690V系统，参考</t>
  </si>
  <si>
    <t>690V较清洁环境，参考</t>
  </si>
  <si>
    <t>④ 相序相色对照（GB 7251 / GB 50171）</t>
  </si>
  <si>
    <t>名称</t>
  </si>
  <si>
    <t>相色(GB)</t>
  </si>
  <si>
    <t>排布次序(典型)</t>
  </si>
  <si>
    <t>L1</t>
  </si>
  <si>
    <t>黄色</t>
  </si>
  <si>
    <t>通常 A 相汇流排最长</t>
  </si>
  <si>
    <t>L2</t>
  </si>
  <si>
    <t>绿色</t>
  </si>
  <si>
    <t>L3</t>
  </si>
  <si>
    <t>红色</t>
  </si>
  <si>
    <t>中性线</t>
  </si>
  <si>
    <t>淡蓝色</t>
  </si>
  <si>
    <t>规格可与相线不同</t>
  </si>
  <si>
    <t>PE</t>
  </si>
  <si>
    <t>保护接地</t>
  </si>
  <si>
    <t>黄绿双色</t>
  </si>
  <si>
    <t>禁止单独绿色或黄色</t>
  </si>
  <si>
    <t>+X</t>
  </si>
  <si>
    <t>A相</t>
  </si>
  <si>
    <t>-X</t>
  </si>
  <si>
    <t>M8</t>
  </si>
  <si>
    <t>B相</t>
  </si>
  <si>
    <t>断路器</t>
  </si>
  <si>
    <t>+Y</t>
  </si>
  <si>
    <t>PD4</t>
  </si>
  <si>
    <t>C相</t>
  </si>
  <si>
    <t>其他</t>
  </si>
  <si>
    <t>-Y</t>
  </si>
  <si>
    <t>M12</t>
  </si>
  <si>
    <t>N相</t>
  </si>
  <si>
    <t>M16</t>
  </si>
  <si>
    <t>HR6-630</t>
    <phoneticPr fontId="6" type="noConversion"/>
  </si>
  <si>
    <t>A_IN</t>
    <phoneticPr fontId="6" type="noConversion"/>
  </si>
  <si>
    <t>B_IN</t>
    <phoneticPr fontId="6" type="noConversion"/>
  </si>
  <si>
    <t>C_IN</t>
    <phoneticPr fontId="6" type="noConversion"/>
  </si>
  <si>
    <t>B相出线</t>
    <phoneticPr fontId="6" type="noConversion"/>
  </si>
  <si>
    <t>A相进线</t>
    <phoneticPr fontId="6" type="noConversion"/>
  </si>
  <si>
    <t>B相进线</t>
    <phoneticPr fontId="6" type="noConversion"/>
  </si>
  <si>
    <t>C相进线</t>
    <phoneticPr fontId="6" type="noConversion"/>
  </si>
  <si>
    <t>1P+N，A相出线</t>
    <phoneticPr fontId="6" type="noConversion"/>
  </si>
  <si>
    <t>C相出线</t>
    <phoneticPr fontId="6" type="noConversion"/>
  </si>
  <si>
    <t>N相出线，规格略有差异</t>
    <phoneticPr fontId="6" type="noConversion"/>
  </si>
  <si>
    <t>N相出线</t>
    <phoneticPr fontId="6" type="noConversion"/>
  </si>
  <si>
    <t>N_OUT</t>
    <phoneticPr fontId="6" type="noConversion"/>
  </si>
  <si>
    <t>PGMBLZ-400</t>
  </si>
  <si>
    <t>PGMBLZ-400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</si>
</sst>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i/>
      <sz val="9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FF9999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8"/>
  <sheetViews>
    <sheetView workbookViewId="0">
      <selection sqref="A1:B1"/>
    </sheetView>
  </sheetViews>
  <sheetFormatPr defaultRowHeight="13.5" x14ac:dyDescent="0.15"/>
  <cols>
    <col min="1" max="1" width="22" customWidth="1"/>
    <col min="2" max="2" width="95" customWidth="1"/>
  </cols>
  <sheetData>
    <row r="1" spans="1:2" ht="30" customHeight="1" x14ac:dyDescent="0.15">
      <c r="A1" s="14" t="s">
        <v>0</v>
      </c>
      <c r="B1" s="15"/>
    </row>
    <row r="3" spans="1:2" ht="48" customHeight="1" x14ac:dyDescent="0.15">
      <c r="A3" s="1" t="s">
        <v>1</v>
      </c>
      <c r="B3" s="2" t="s">
        <v>2</v>
      </c>
    </row>
    <row r="4" spans="1:2" ht="48" customHeight="1" x14ac:dyDescent="0.15">
      <c r="A4" s="1" t="s">
        <v>3</v>
      </c>
      <c r="B4" s="2" t="s">
        <v>4</v>
      </c>
    </row>
    <row r="5" spans="1:2" ht="48" customHeight="1" x14ac:dyDescent="0.15">
      <c r="A5" s="1" t="s">
        <v>5</v>
      </c>
      <c r="B5" s="2" t="s">
        <v>6</v>
      </c>
    </row>
    <row r="6" spans="1:2" ht="48" customHeight="1" x14ac:dyDescent="0.15">
      <c r="A6" s="1" t="s">
        <v>7</v>
      </c>
      <c r="B6" s="2" t="s">
        <v>8</v>
      </c>
    </row>
    <row r="7" spans="1:2" ht="48" customHeight="1" x14ac:dyDescent="0.15">
      <c r="A7" s="1" t="s">
        <v>9</v>
      </c>
      <c r="B7" s="2" t="s">
        <v>10</v>
      </c>
    </row>
    <row r="8" spans="1:2" ht="48" customHeight="1" x14ac:dyDescent="0.15">
      <c r="A8" s="1" t="s">
        <v>11</v>
      </c>
      <c r="B8" s="2" t="s">
        <v>12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</sheetPr>
  <dimension ref="A1:M17"/>
  <sheetViews>
    <sheetView tabSelected="1" workbookViewId="0">
      <pane ySplit="3" topLeftCell="A4" activePane="bottomLeft" state="frozen"/>
      <selection pane="bottomLeft" activeCell="M11" sqref="M11"/>
    </sheetView>
  </sheetViews>
  <sheetFormatPr defaultRowHeight="13.5" x14ac:dyDescent="0.15"/>
  <cols>
    <col min="1" max="1" width="12" customWidth="1"/>
    <col min="2" max="2" width="16" customWidth="1"/>
    <col min="3" max="3" width="12" customWidth="1"/>
    <col min="4" max="4" width="8" customWidth="1"/>
    <col min="5" max="5" width="10" customWidth="1"/>
    <col min="6" max="8" width="11" customWidth="1"/>
    <col min="9" max="10" width="12" customWidth="1"/>
    <col min="11" max="12" width="10" customWidth="1"/>
    <col min="13" max="13" width="22" customWidth="1"/>
  </cols>
  <sheetData>
    <row r="1" spans="1:13" ht="30" customHeight="1" x14ac:dyDescent="0.15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 x14ac:dyDescent="0.15">
      <c r="A2" s="16" t="s">
        <v>14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6.5" x14ac:dyDescent="0.1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</row>
    <row r="4" spans="1:13" ht="16.5" x14ac:dyDescent="0.15">
      <c r="A4" s="4" t="s">
        <v>28</v>
      </c>
      <c r="B4" s="4" t="s">
        <v>130</v>
      </c>
      <c r="C4" s="4" t="s">
        <v>29</v>
      </c>
      <c r="D4" s="5" t="s">
        <v>30</v>
      </c>
      <c r="E4" s="5" t="s">
        <v>31</v>
      </c>
      <c r="F4" s="5">
        <v>-80</v>
      </c>
      <c r="G4" s="5">
        <v>-105</v>
      </c>
      <c r="H4" s="5">
        <v>24</v>
      </c>
      <c r="I4" s="5">
        <v>630</v>
      </c>
      <c r="J4" s="5">
        <v>24</v>
      </c>
      <c r="K4" s="5" t="s">
        <v>32</v>
      </c>
      <c r="L4" s="5" t="s">
        <v>33</v>
      </c>
      <c r="M4" s="4" t="s">
        <v>34</v>
      </c>
    </row>
    <row r="5" spans="1:13" ht="16.5" x14ac:dyDescent="0.15">
      <c r="A5" s="2" t="s">
        <v>28</v>
      </c>
      <c r="B5" s="4" t="s">
        <v>130</v>
      </c>
      <c r="C5" s="2" t="s">
        <v>35</v>
      </c>
      <c r="D5" s="6" t="s">
        <v>36</v>
      </c>
      <c r="E5" s="6" t="s">
        <v>31</v>
      </c>
      <c r="F5" s="6">
        <v>0</v>
      </c>
      <c r="G5" s="6">
        <v>-105</v>
      </c>
      <c r="H5" s="5">
        <v>24</v>
      </c>
      <c r="I5" s="6">
        <v>630</v>
      </c>
      <c r="J5" s="5">
        <v>24</v>
      </c>
      <c r="K5" s="6" t="s">
        <v>32</v>
      </c>
      <c r="L5" s="6" t="s">
        <v>33</v>
      </c>
      <c r="M5" s="2" t="s">
        <v>37</v>
      </c>
    </row>
    <row r="6" spans="1:13" ht="16.5" x14ac:dyDescent="0.15">
      <c r="A6" s="4" t="s">
        <v>28</v>
      </c>
      <c r="B6" s="4" t="s">
        <v>130</v>
      </c>
      <c r="C6" s="4" t="s">
        <v>38</v>
      </c>
      <c r="D6" s="5" t="s">
        <v>39</v>
      </c>
      <c r="E6" s="5" t="s">
        <v>31</v>
      </c>
      <c r="F6" s="5">
        <v>80</v>
      </c>
      <c r="G6" s="6">
        <v>-105</v>
      </c>
      <c r="H6" s="5">
        <v>24</v>
      </c>
      <c r="I6" s="5">
        <v>630</v>
      </c>
      <c r="J6" s="5">
        <v>24</v>
      </c>
      <c r="K6" s="5" t="s">
        <v>32</v>
      </c>
      <c r="L6" s="5" t="s">
        <v>33</v>
      </c>
      <c r="M6" s="4" t="s">
        <v>40</v>
      </c>
    </row>
    <row r="7" spans="1:13" ht="16.5" x14ac:dyDescent="0.15">
      <c r="A7" s="4" t="s">
        <v>28</v>
      </c>
      <c r="B7" s="4" t="s">
        <v>130</v>
      </c>
      <c r="C7" s="4" t="s">
        <v>131</v>
      </c>
      <c r="D7" s="5" t="s">
        <v>30</v>
      </c>
      <c r="E7" s="5" t="s">
        <v>42</v>
      </c>
      <c r="F7" s="5">
        <v>-80</v>
      </c>
      <c r="G7" s="5">
        <v>105</v>
      </c>
      <c r="H7" s="5">
        <v>24</v>
      </c>
      <c r="I7" s="5">
        <v>630</v>
      </c>
      <c r="J7" s="5">
        <v>24</v>
      </c>
      <c r="K7" s="5" t="s">
        <v>32</v>
      </c>
      <c r="L7" s="5" t="s">
        <v>33</v>
      </c>
      <c r="M7" s="4" t="s">
        <v>135</v>
      </c>
    </row>
    <row r="8" spans="1:13" ht="16.5" x14ac:dyDescent="0.15">
      <c r="A8" s="2" t="s">
        <v>28</v>
      </c>
      <c r="B8" s="4" t="s">
        <v>130</v>
      </c>
      <c r="C8" s="2" t="s">
        <v>132</v>
      </c>
      <c r="D8" s="6" t="s">
        <v>36</v>
      </c>
      <c r="E8" s="6" t="s">
        <v>42</v>
      </c>
      <c r="F8" s="6">
        <v>0</v>
      </c>
      <c r="G8" s="5">
        <v>105</v>
      </c>
      <c r="H8" s="5">
        <v>24</v>
      </c>
      <c r="I8" s="6">
        <v>630</v>
      </c>
      <c r="J8" s="5">
        <v>24</v>
      </c>
      <c r="K8" s="6" t="s">
        <v>32</v>
      </c>
      <c r="L8" s="6" t="s">
        <v>33</v>
      </c>
      <c r="M8" s="2" t="s">
        <v>136</v>
      </c>
    </row>
    <row r="9" spans="1:13" ht="16.5" x14ac:dyDescent="0.15">
      <c r="A9" s="4" t="s">
        <v>28</v>
      </c>
      <c r="B9" s="4" t="s">
        <v>130</v>
      </c>
      <c r="C9" s="4" t="s">
        <v>133</v>
      </c>
      <c r="D9" s="5" t="s">
        <v>39</v>
      </c>
      <c r="E9" s="5" t="s">
        <v>42</v>
      </c>
      <c r="F9" s="5">
        <v>80</v>
      </c>
      <c r="G9" s="5">
        <v>105</v>
      </c>
      <c r="H9" s="5">
        <v>24</v>
      </c>
      <c r="I9" s="5">
        <v>630</v>
      </c>
      <c r="J9" s="5">
        <v>24</v>
      </c>
      <c r="K9" s="5" t="s">
        <v>32</v>
      </c>
      <c r="L9" s="5" t="s">
        <v>33</v>
      </c>
      <c r="M9" s="4" t="s">
        <v>137</v>
      </c>
    </row>
    <row r="10" spans="1:13" ht="16.5" x14ac:dyDescent="0.15">
      <c r="A10" s="2" t="s">
        <v>41</v>
      </c>
      <c r="B10" s="2" t="s">
        <v>144</v>
      </c>
      <c r="C10" s="4" t="s">
        <v>29</v>
      </c>
      <c r="D10" s="6" t="s">
        <v>30</v>
      </c>
      <c r="E10" s="6" t="s">
        <v>42</v>
      </c>
      <c r="F10" s="6">
        <v>229.37</v>
      </c>
      <c r="G10" s="6">
        <v>-70</v>
      </c>
      <c r="H10" s="6">
        <v>-538</v>
      </c>
      <c r="I10" s="6">
        <v>400</v>
      </c>
      <c r="J10" s="6">
        <v>36</v>
      </c>
      <c r="K10" s="6" t="s">
        <v>43</v>
      </c>
      <c r="L10" s="6" t="s">
        <v>44</v>
      </c>
      <c r="M10" s="2" t="s">
        <v>138</v>
      </c>
    </row>
    <row r="11" spans="1:13" ht="16.5" x14ac:dyDescent="0.15">
      <c r="A11" s="4" t="s">
        <v>41</v>
      </c>
      <c r="B11" s="2" t="s">
        <v>144</v>
      </c>
      <c r="C11" s="2" t="s">
        <v>35</v>
      </c>
      <c r="D11" s="5" t="s">
        <v>36</v>
      </c>
      <c r="E11" s="5" t="s">
        <v>42</v>
      </c>
      <c r="F11" s="5">
        <v>181.37</v>
      </c>
      <c r="G11" s="5">
        <v>-70</v>
      </c>
      <c r="H11" s="5">
        <v>-538</v>
      </c>
      <c r="I11" s="5">
        <v>400</v>
      </c>
      <c r="J11" s="5">
        <v>36</v>
      </c>
      <c r="K11" s="5" t="s">
        <v>43</v>
      </c>
      <c r="L11" s="5" t="s">
        <v>44</v>
      </c>
      <c r="M11" s="4" t="s">
        <v>134</v>
      </c>
    </row>
    <row r="12" spans="1:13" ht="16.5" x14ac:dyDescent="0.15">
      <c r="A12" s="2" t="s">
        <v>41</v>
      </c>
      <c r="B12" s="2" t="s">
        <v>143</v>
      </c>
      <c r="C12" s="4" t="s">
        <v>38</v>
      </c>
      <c r="D12" s="6" t="s">
        <v>39</v>
      </c>
      <c r="E12" s="6" t="s">
        <v>42</v>
      </c>
      <c r="F12" s="6">
        <v>133.37</v>
      </c>
      <c r="G12" s="6">
        <v>-70</v>
      </c>
      <c r="H12" s="6">
        <v>-538</v>
      </c>
      <c r="I12" s="6">
        <v>400</v>
      </c>
      <c r="J12" s="6">
        <v>36</v>
      </c>
      <c r="K12" s="6" t="s">
        <v>43</v>
      </c>
      <c r="L12" s="6" t="s">
        <v>44</v>
      </c>
      <c r="M12" s="2" t="s">
        <v>139</v>
      </c>
    </row>
    <row r="13" spans="1:13" ht="16.5" x14ac:dyDescent="0.15">
      <c r="A13" s="4" t="s">
        <v>41</v>
      </c>
      <c r="B13" s="2" t="s">
        <v>143</v>
      </c>
      <c r="C13" s="4" t="s">
        <v>142</v>
      </c>
      <c r="D13" s="5" t="s">
        <v>50</v>
      </c>
      <c r="E13" s="5" t="s">
        <v>42</v>
      </c>
      <c r="F13" s="5">
        <v>85.37</v>
      </c>
      <c r="G13" s="5">
        <v>-70</v>
      </c>
      <c r="H13" s="5">
        <v>-538</v>
      </c>
      <c r="I13" s="5">
        <v>400</v>
      </c>
      <c r="J13" s="5">
        <v>36</v>
      </c>
      <c r="K13" s="5" t="s">
        <v>43</v>
      </c>
      <c r="L13" s="5" t="s">
        <v>44</v>
      </c>
      <c r="M13" s="4" t="s">
        <v>140</v>
      </c>
    </row>
    <row r="14" spans="1:13" ht="16.5" x14ac:dyDescent="0.15">
      <c r="A14" s="2" t="s">
        <v>41</v>
      </c>
      <c r="B14" s="2" t="s">
        <v>143</v>
      </c>
      <c r="C14" s="2" t="s">
        <v>131</v>
      </c>
      <c r="D14" s="6" t="s">
        <v>30</v>
      </c>
      <c r="E14" s="6" t="s">
        <v>42</v>
      </c>
      <c r="F14" s="6">
        <v>229.37</v>
      </c>
      <c r="G14" s="6">
        <v>234</v>
      </c>
      <c r="H14" s="6">
        <v>-538</v>
      </c>
      <c r="I14" s="6">
        <v>400</v>
      </c>
      <c r="J14" s="6">
        <v>36</v>
      </c>
      <c r="K14" s="6" t="s">
        <v>43</v>
      </c>
      <c r="L14" s="6" t="s">
        <v>44</v>
      </c>
      <c r="M14" s="2" t="s">
        <v>135</v>
      </c>
    </row>
    <row r="15" spans="1:13" ht="16.5" x14ac:dyDescent="0.15">
      <c r="A15" s="4" t="s">
        <v>41</v>
      </c>
      <c r="B15" s="2" t="s">
        <v>143</v>
      </c>
      <c r="C15" s="4" t="s">
        <v>45</v>
      </c>
      <c r="D15" s="5" t="s">
        <v>36</v>
      </c>
      <c r="E15" s="5" t="s">
        <v>42</v>
      </c>
      <c r="F15" s="5">
        <v>181.37</v>
      </c>
      <c r="G15" s="5">
        <v>234</v>
      </c>
      <c r="H15" s="5">
        <v>-538</v>
      </c>
      <c r="I15" s="5">
        <v>400</v>
      </c>
      <c r="J15" s="5">
        <v>36</v>
      </c>
      <c r="K15" s="5" t="s">
        <v>43</v>
      </c>
      <c r="L15" s="5" t="s">
        <v>44</v>
      </c>
      <c r="M15" s="4" t="s">
        <v>46</v>
      </c>
    </row>
    <row r="16" spans="1:13" ht="16.5" x14ac:dyDescent="0.15">
      <c r="A16" s="2" t="s">
        <v>41</v>
      </c>
      <c r="B16" s="2" t="s">
        <v>143</v>
      </c>
      <c r="C16" s="2" t="s">
        <v>47</v>
      </c>
      <c r="D16" s="6" t="s">
        <v>39</v>
      </c>
      <c r="E16" s="6" t="s">
        <v>42</v>
      </c>
      <c r="F16" s="6">
        <v>133.37</v>
      </c>
      <c r="G16" s="6">
        <v>234</v>
      </c>
      <c r="H16" s="6">
        <v>-538</v>
      </c>
      <c r="I16" s="6">
        <v>400</v>
      </c>
      <c r="J16" s="6">
        <v>36</v>
      </c>
      <c r="K16" s="6" t="s">
        <v>43</v>
      </c>
      <c r="L16" s="6" t="s">
        <v>44</v>
      </c>
      <c r="M16" s="2" t="s">
        <v>48</v>
      </c>
    </row>
    <row r="17" spans="1:13" ht="16.5" x14ac:dyDescent="0.15">
      <c r="A17" s="4" t="s">
        <v>41</v>
      </c>
      <c r="B17" s="2" t="s">
        <v>143</v>
      </c>
      <c r="C17" s="4" t="s">
        <v>49</v>
      </c>
      <c r="D17" s="5" t="s">
        <v>50</v>
      </c>
      <c r="E17" s="5" t="s">
        <v>42</v>
      </c>
      <c r="F17" s="5">
        <v>84.72</v>
      </c>
      <c r="G17" s="5">
        <v>235.82</v>
      </c>
      <c r="H17" s="5">
        <v>-538</v>
      </c>
      <c r="I17" s="5">
        <v>400</v>
      </c>
      <c r="J17" s="5">
        <v>36</v>
      </c>
      <c r="K17" s="5" t="s">
        <v>43</v>
      </c>
      <c r="L17" s="5" t="s">
        <v>44</v>
      </c>
      <c r="M17" s="4" t="s">
        <v>141</v>
      </c>
    </row>
  </sheetData>
  <mergeCells count="2">
    <mergeCell ref="A2:M2"/>
    <mergeCell ref="A1:M1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xr:uid="{00000000-0002-0000-0100-000000000000}">
          <x14:formula1>
            <xm:f>枚举!$A$2:$A$5</xm:f>
          </x14:formula1>
          <xm:sqref>A4:A210</xm:sqref>
        </x14:dataValidation>
        <x14:dataValidation type="list" allowBlank="1" xr:uid="{00000000-0002-0000-0100-000001000000}">
          <x14:formula1>
            <xm:f>枚举!$B$2:$B$6</xm:f>
          </x14:formula1>
          <xm:sqref>D4:D210</xm:sqref>
        </x14:dataValidation>
        <x14:dataValidation type="list" allowBlank="1" xr:uid="{00000000-0002-0000-0100-000002000000}">
          <x14:formula1>
            <xm:f>枚举!$C$2:$C$3</xm:f>
          </x14:formula1>
          <xm:sqref>E4:E210</xm:sqref>
        </x14:dataValidation>
        <x14:dataValidation type="list" allowBlank="1" xr:uid="{00000000-0002-0000-0100-000003000000}">
          <x14:formula1>
            <xm:f>枚举!$D$2:$D$7</xm:f>
          </x14:formula1>
          <xm:sqref>L4:L210</xm:sqref>
        </x14:dataValidation>
        <x14:dataValidation type="list" allowBlank="1" xr:uid="{00000000-0002-0000-0100-000004000000}">
          <x14:formula1>
            <xm:f>枚举!$E$2:$E$6</xm:f>
          </x14:formula1>
          <xm:sqref>K4:K210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L13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" customWidth="1"/>
    <col min="2" max="3" width="10" customWidth="1"/>
    <col min="4" max="4" width="12" customWidth="1"/>
    <col min="5" max="5" width="14" customWidth="1"/>
    <col min="6" max="7" width="12" customWidth="1"/>
    <col min="8" max="8" width="14" customWidth="1"/>
    <col min="9" max="11" width="12" customWidth="1"/>
    <col min="12" max="12" width="22" customWidth="1"/>
  </cols>
  <sheetData>
    <row r="1" spans="1:12" ht="30" customHeight="1" x14ac:dyDescent="0.15">
      <c r="A1" s="14" t="s">
        <v>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0" customHeight="1" x14ac:dyDescent="0.15">
      <c r="A2" s="16" t="s">
        <v>52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5" x14ac:dyDescent="0.1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27</v>
      </c>
    </row>
    <row r="4" spans="1:12" ht="16.5" x14ac:dyDescent="0.15">
      <c r="A4" s="4" t="s">
        <v>64</v>
      </c>
      <c r="B4" s="5">
        <v>15</v>
      </c>
      <c r="C4" s="5">
        <v>3</v>
      </c>
      <c r="D4" s="5">
        <f t="shared" ref="D4:D13" si="0">B4*C4</f>
        <v>45</v>
      </c>
      <c r="E4" s="5">
        <v>210</v>
      </c>
      <c r="F4" s="7">
        <v>1</v>
      </c>
      <c r="G4" s="7">
        <v>1</v>
      </c>
      <c r="H4" s="5">
        <f t="shared" ref="H4:H13" si="1">ROUND(E4*F4*G4,0)</f>
        <v>210</v>
      </c>
      <c r="I4" s="5">
        <v>16</v>
      </c>
      <c r="J4" s="4" t="s">
        <v>65</v>
      </c>
      <c r="K4" s="4" t="s">
        <v>66</v>
      </c>
      <c r="L4" s="4"/>
    </row>
    <row r="5" spans="1:12" ht="16.5" x14ac:dyDescent="0.15">
      <c r="A5" s="2" t="s">
        <v>67</v>
      </c>
      <c r="B5" s="6">
        <v>20</v>
      </c>
      <c r="C5" s="6">
        <v>3</v>
      </c>
      <c r="D5" s="6">
        <f t="shared" si="0"/>
        <v>60</v>
      </c>
      <c r="E5" s="6">
        <v>275</v>
      </c>
      <c r="F5" s="8">
        <v>1</v>
      </c>
      <c r="G5" s="8">
        <v>1</v>
      </c>
      <c r="H5" s="6">
        <f t="shared" si="1"/>
        <v>275</v>
      </c>
      <c r="I5" s="6">
        <v>16</v>
      </c>
      <c r="J5" s="2" t="s">
        <v>65</v>
      </c>
      <c r="K5" s="2" t="s">
        <v>68</v>
      </c>
      <c r="L5" s="2"/>
    </row>
    <row r="6" spans="1:12" ht="16.5" x14ac:dyDescent="0.15">
      <c r="A6" s="4" t="s">
        <v>69</v>
      </c>
      <c r="B6" s="5">
        <v>25</v>
      </c>
      <c r="C6" s="5">
        <v>3</v>
      </c>
      <c r="D6" s="5">
        <f t="shared" si="0"/>
        <v>75</v>
      </c>
      <c r="E6" s="5">
        <v>340</v>
      </c>
      <c r="F6" s="7">
        <v>0.95</v>
      </c>
      <c r="G6" s="7">
        <v>1</v>
      </c>
      <c r="H6" s="5">
        <f t="shared" si="1"/>
        <v>323</v>
      </c>
      <c r="I6" s="5">
        <v>20</v>
      </c>
      <c r="J6" s="4" t="s">
        <v>65</v>
      </c>
      <c r="K6" s="4" t="s">
        <v>68</v>
      </c>
      <c r="L6" s="4"/>
    </row>
    <row r="7" spans="1:12" ht="16.5" x14ac:dyDescent="0.15">
      <c r="A7" s="2" t="s">
        <v>70</v>
      </c>
      <c r="B7" s="6">
        <v>30</v>
      </c>
      <c r="C7" s="6">
        <v>4</v>
      </c>
      <c r="D7" s="6">
        <f t="shared" si="0"/>
        <v>120</v>
      </c>
      <c r="E7" s="6">
        <v>475</v>
      </c>
      <c r="F7" s="8">
        <v>0.95</v>
      </c>
      <c r="G7" s="8">
        <v>0.9</v>
      </c>
      <c r="H7" s="6">
        <f t="shared" si="1"/>
        <v>406</v>
      </c>
      <c r="I7" s="6">
        <v>20</v>
      </c>
      <c r="J7" s="2" t="s">
        <v>71</v>
      </c>
      <c r="K7" s="2" t="s">
        <v>68</v>
      </c>
      <c r="L7" s="2"/>
    </row>
    <row r="8" spans="1:12" ht="16.5" x14ac:dyDescent="0.15">
      <c r="A8" s="4" t="s">
        <v>72</v>
      </c>
      <c r="B8" s="5">
        <v>40</v>
      </c>
      <c r="C8" s="5">
        <v>4</v>
      </c>
      <c r="D8" s="5">
        <f t="shared" si="0"/>
        <v>160</v>
      </c>
      <c r="E8" s="5">
        <v>625</v>
      </c>
      <c r="F8" s="7">
        <v>0.95</v>
      </c>
      <c r="G8" s="7">
        <v>0.9</v>
      </c>
      <c r="H8" s="5">
        <f t="shared" si="1"/>
        <v>534</v>
      </c>
      <c r="I8" s="5">
        <v>25</v>
      </c>
      <c r="J8" s="4" t="s">
        <v>71</v>
      </c>
      <c r="K8" s="4" t="s">
        <v>68</v>
      </c>
      <c r="L8" s="4"/>
    </row>
    <row r="9" spans="1:12" ht="16.5" x14ac:dyDescent="0.15">
      <c r="A9" s="2" t="s">
        <v>73</v>
      </c>
      <c r="B9" s="6">
        <v>40</v>
      </c>
      <c r="C9" s="6">
        <v>5</v>
      </c>
      <c r="D9" s="6">
        <f t="shared" si="0"/>
        <v>200</v>
      </c>
      <c r="E9" s="6">
        <v>700</v>
      </c>
      <c r="F9" s="8">
        <v>0.9</v>
      </c>
      <c r="G9" s="8">
        <v>0.9</v>
      </c>
      <c r="H9" s="6">
        <f t="shared" si="1"/>
        <v>567</v>
      </c>
      <c r="I9" s="6">
        <v>25</v>
      </c>
      <c r="J9" s="2" t="s">
        <v>71</v>
      </c>
      <c r="K9" s="2" t="s">
        <v>74</v>
      </c>
      <c r="L9" s="2"/>
    </row>
    <row r="10" spans="1:12" ht="16.5" x14ac:dyDescent="0.15">
      <c r="A10" s="4" t="s">
        <v>75</v>
      </c>
      <c r="B10" s="5">
        <v>50</v>
      </c>
      <c r="C10" s="5">
        <v>5</v>
      </c>
      <c r="D10" s="5">
        <f t="shared" si="0"/>
        <v>250</v>
      </c>
      <c r="E10" s="5">
        <v>860</v>
      </c>
      <c r="F10" s="7">
        <v>0.9</v>
      </c>
      <c r="G10" s="7">
        <v>0.85</v>
      </c>
      <c r="H10" s="5">
        <f t="shared" si="1"/>
        <v>658</v>
      </c>
      <c r="I10" s="5">
        <v>25</v>
      </c>
      <c r="J10" s="4" t="s">
        <v>76</v>
      </c>
      <c r="K10" s="4" t="s">
        <v>74</v>
      </c>
      <c r="L10" s="4"/>
    </row>
    <row r="11" spans="1:12" ht="16.5" x14ac:dyDescent="0.15">
      <c r="A11" s="2" t="s">
        <v>77</v>
      </c>
      <c r="B11" s="6">
        <v>60</v>
      </c>
      <c r="C11" s="6">
        <v>6</v>
      </c>
      <c r="D11" s="6">
        <f t="shared" si="0"/>
        <v>360</v>
      </c>
      <c r="E11" s="6">
        <v>1125</v>
      </c>
      <c r="F11" s="8">
        <v>0.9</v>
      </c>
      <c r="G11" s="8">
        <v>0.85</v>
      </c>
      <c r="H11" s="6">
        <f t="shared" si="1"/>
        <v>861</v>
      </c>
      <c r="I11" s="6">
        <v>30</v>
      </c>
      <c r="J11" s="2" t="s">
        <v>76</v>
      </c>
      <c r="K11" s="2" t="s">
        <v>78</v>
      </c>
      <c r="L11" s="2"/>
    </row>
    <row r="12" spans="1:12" ht="16.5" x14ac:dyDescent="0.15">
      <c r="A12" s="4" t="s">
        <v>79</v>
      </c>
      <c r="B12" s="5">
        <v>80</v>
      </c>
      <c r="C12" s="5">
        <v>6</v>
      </c>
      <c r="D12" s="5">
        <f t="shared" si="0"/>
        <v>480</v>
      </c>
      <c r="E12" s="5">
        <v>1480</v>
      </c>
      <c r="F12" s="7">
        <v>0.85</v>
      </c>
      <c r="G12" s="7">
        <v>0.85</v>
      </c>
      <c r="H12" s="5">
        <f t="shared" si="1"/>
        <v>1069</v>
      </c>
      <c r="I12" s="5">
        <v>30</v>
      </c>
      <c r="J12" s="4" t="s">
        <v>76</v>
      </c>
      <c r="K12" s="4" t="s">
        <v>78</v>
      </c>
      <c r="L12" s="4"/>
    </row>
    <row r="13" spans="1:12" ht="16.5" x14ac:dyDescent="0.15">
      <c r="A13" s="2" t="s">
        <v>80</v>
      </c>
      <c r="B13" s="6">
        <v>100</v>
      </c>
      <c r="C13" s="6">
        <v>10</v>
      </c>
      <c r="D13" s="6">
        <f t="shared" si="0"/>
        <v>1000</v>
      </c>
      <c r="E13" s="6">
        <v>2310</v>
      </c>
      <c r="F13" s="8">
        <v>0.85</v>
      </c>
      <c r="G13" s="8">
        <v>0.8</v>
      </c>
      <c r="H13" s="6">
        <f t="shared" si="1"/>
        <v>1571</v>
      </c>
      <c r="I13" s="6">
        <v>50</v>
      </c>
      <c r="J13" s="2" t="s">
        <v>76</v>
      </c>
      <c r="K13" s="2" t="s">
        <v>81</v>
      </c>
      <c r="L13" s="2"/>
    </row>
  </sheetData>
  <mergeCells count="2">
    <mergeCell ref="A2:L2"/>
    <mergeCell ref="A1:L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H7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" customWidth="1"/>
    <col min="2" max="2" width="18" customWidth="1"/>
    <col min="3" max="3" width="10" customWidth="1"/>
    <col min="4" max="5" width="12" customWidth="1"/>
    <col min="6" max="6" width="14" customWidth="1"/>
    <col min="7" max="7" width="12" customWidth="1"/>
    <col min="8" max="8" width="28" customWidth="1"/>
  </cols>
  <sheetData>
    <row r="1" spans="1:8" ht="30" customHeight="1" x14ac:dyDescent="0.15">
      <c r="A1" s="14" t="s">
        <v>82</v>
      </c>
      <c r="B1" s="15"/>
      <c r="C1" s="15"/>
      <c r="D1" s="15"/>
      <c r="E1" s="15"/>
      <c r="F1" s="15"/>
      <c r="G1" s="15"/>
      <c r="H1" s="15"/>
    </row>
    <row r="2" spans="1:8" ht="30" customHeight="1" x14ac:dyDescent="0.15">
      <c r="A2" s="16" t="s">
        <v>83</v>
      </c>
      <c r="B2" s="15"/>
      <c r="C2" s="15"/>
      <c r="D2" s="15"/>
      <c r="E2" s="15"/>
      <c r="F2" s="15"/>
      <c r="G2" s="15"/>
      <c r="H2" s="15"/>
    </row>
    <row r="3" spans="1:8" ht="33" x14ac:dyDescent="0.15">
      <c r="A3" s="3" t="s">
        <v>84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</row>
    <row r="4" spans="1:8" ht="16.5" x14ac:dyDescent="0.15">
      <c r="A4" s="5">
        <v>400</v>
      </c>
      <c r="B4" s="5">
        <v>6</v>
      </c>
      <c r="C4" s="5" t="s">
        <v>92</v>
      </c>
      <c r="D4" s="5">
        <v>5.5</v>
      </c>
      <c r="E4" s="5">
        <v>10</v>
      </c>
      <c r="F4" s="5">
        <v>20</v>
      </c>
      <c r="G4" s="5">
        <v>5.5</v>
      </c>
      <c r="H4" s="4" t="s">
        <v>93</v>
      </c>
    </row>
    <row r="5" spans="1:8" ht="16.5" x14ac:dyDescent="0.15">
      <c r="A5" s="6">
        <v>400</v>
      </c>
      <c r="B5" s="6">
        <v>4</v>
      </c>
      <c r="C5" s="6" t="s">
        <v>94</v>
      </c>
      <c r="D5" s="6">
        <v>3</v>
      </c>
      <c r="E5" s="6">
        <v>6.3</v>
      </c>
      <c r="F5" s="6">
        <v>18</v>
      </c>
      <c r="G5" s="6">
        <v>3</v>
      </c>
      <c r="H5" s="2" t="s">
        <v>95</v>
      </c>
    </row>
    <row r="6" spans="1:8" ht="16.5" x14ac:dyDescent="0.15">
      <c r="A6" s="5">
        <v>690</v>
      </c>
      <c r="B6" s="5">
        <v>8</v>
      </c>
      <c r="C6" s="5" t="s">
        <v>92</v>
      </c>
      <c r="D6" s="5">
        <v>8</v>
      </c>
      <c r="E6" s="5">
        <v>16</v>
      </c>
      <c r="F6" s="5">
        <v>25</v>
      </c>
      <c r="G6" s="5">
        <v>8</v>
      </c>
      <c r="H6" s="4" t="s">
        <v>96</v>
      </c>
    </row>
    <row r="7" spans="1:8" ht="16.5" x14ac:dyDescent="0.15">
      <c r="A7" s="6">
        <v>690</v>
      </c>
      <c r="B7" s="6">
        <v>6</v>
      </c>
      <c r="C7" s="6" t="s">
        <v>94</v>
      </c>
      <c r="D7" s="6">
        <v>5.5</v>
      </c>
      <c r="E7" s="6">
        <v>10</v>
      </c>
      <c r="F7" s="6">
        <v>22</v>
      </c>
      <c r="G7" s="6">
        <v>5.5</v>
      </c>
      <c r="H7" s="2" t="s">
        <v>97</v>
      </c>
    </row>
  </sheetData>
  <mergeCells count="2">
    <mergeCell ref="A2:H2"/>
    <mergeCell ref="A1:H1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枚举!$F$2:$F$4</xm:f>
          </x14:formula1>
          <xm:sqref>C4:C103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0" customWidth="1"/>
    <col min="2" max="3" width="14" customWidth="1"/>
    <col min="4" max="4" width="16" customWidth="1"/>
    <col min="5" max="5" width="30" customWidth="1"/>
  </cols>
  <sheetData>
    <row r="1" spans="1:5" ht="30" customHeight="1" x14ac:dyDescent="0.15">
      <c r="A1" s="14" t="s">
        <v>98</v>
      </c>
      <c r="B1" s="15"/>
      <c r="C1" s="15"/>
      <c r="D1" s="15"/>
      <c r="E1" s="15"/>
    </row>
    <row r="2" spans="1:5" ht="16.5" x14ac:dyDescent="0.15">
      <c r="A2" s="3" t="s">
        <v>18</v>
      </c>
      <c r="B2" s="3" t="s">
        <v>99</v>
      </c>
      <c r="C2" s="3" t="s">
        <v>100</v>
      </c>
      <c r="D2" s="3" t="s">
        <v>101</v>
      </c>
      <c r="E2" s="3" t="s">
        <v>27</v>
      </c>
    </row>
    <row r="3" spans="1:5" ht="16.5" x14ac:dyDescent="0.15">
      <c r="A3" s="6" t="s">
        <v>30</v>
      </c>
      <c r="B3" s="6" t="s">
        <v>102</v>
      </c>
      <c r="C3" s="9" t="s">
        <v>103</v>
      </c>
      <c r="D3" s="6">
        <v>1</v>
      </c>
      <c r="E3" s="6" t="s">
        <v>104</v>
      </c>
    </row>
    <row r="4" spans="1:5" ht="16.5" x14ac:dyDescent="0.15">
      <c r="A4" s="6" t="s">
        <v>36</v>
      </c>
      <c r="B4" s="6" t="s">
        <v>105</v>
      </c>
      <c r="C4" s="10" t="s">
        <v>106</v>
      </c>
      <c r="D4" s="6">
        <v>2</v>
      </c>
      <c r="E4" s="6"/>
    </row>
    <row r="5" spans="1:5" ht="16.5" x14ac:dyDescent="0.15">
      <c r="A5" s="6" t="s">
        <v>39</v>
      </c>
      <c r="B5" s="6" t="s">
        <v>107</v>
      </c>
      <c r="C5" s="11" t="s">
        <v>108</v>
      </c>
      <c r="D5" s="6">
        <v>3</v>
      </c>
      <c r="E5" s="6"/>
    </row>
    <row r="6" spans="1:5" ht="16.5" x14ac:dyDescent="0.15">
      <c r="A6" s="6" t="s">
        <v>50</v>
      </c>
      <c r="B6" s="6" t="s">
        <v>109</v>
      </c>
      <c r="C6" s="12" t="s">
        <v>110</v>
      </c>
      <c r="D6" s="6">
        <v>4</v>
      </c>
      <c r="E6" s="6" t="s">
        <v>111</v>
      </c>
    </row>
    <row r="7" spans="1:5" ht="16.5" x14ac:dyDescent="0.15">
      <c r="A7" s="6" t="s">
        <v>112</v>
      </c>
      <c r="B7" s="6" t="s">
        <v>113</v>
      </c>
      <c r="C7" s="13" t="s">
        <v>114</v>
      </c>
      <c r="D7" s="6">
        <v>5</v>
      </c>
      <c r="E7" s="6" t="s">
        <v>115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G7"/>
  <sheetViews>
    <sheetView workbookViewId="0"/>
  </sheetViews>
  <sheetFormatPr defaultRowHeight="13.5" x14ac:dyDescent="0.15"/>
  <cols>
    <col min="1" max="7" width="14" customWidth="1"/>
  </cols>
  <sheetData>
    <row r="1" spans="1:7" ht="16.5" x14ac:dyDescent="0.15">
      <c r="A1" s="3" t="s">
        <v>15</v>
      </c>
      <c r="B1" s="3" t="s">
        <v>18</v>
      </c>
      <c r="C1" s="3" t="s">
        <v>19</v>
      </c>
      <c r="D1" s="3" t="s">
        <v>26</v>
      </c>
      <c r="E1" s="3" t="s">
        <v>25</v>
      </c>
      <c r="F1" s="3" t="s">
        <v>86</v>
      </c>
      <c r="G1" s="3" t="s">
        <v>63</v>
      </c>
    </row>
    <row r="2" spans="1:7" ht="16.5" x14ac:dyDescent="0.15">
      <c r="A2" s="6" t="s">
        <v>28</v>
      </c>
      <c r="B2" s="6" t="s">
        <v>30</v>
      </c>
      <c r="C2" s="6" t="s">
        <v>42</v>
      </c>
      <c r="D2" s="6" t="s">
        <v>116</v>
      </c>
      <c r="E2" s="6" t="s">
        <v>43</v>
      </c>
      <c r="F2" s="6" t="s">
        <v>94</v>
      </c>
      <c r="G2" s="6" t="s">
        <v>117</v>
      </c>
    </row>
    <row r="3" spans="1:7" ht="16.5" x14ac:dyDescent="0.15">
      <c r="A3" s="6" t="s">
        <v>41</v>
      </c>
      <c r="B3" s="6" t="s">
        <v>36</v>
      </c>
      <c r="C3" s="6" t="s">
        <v>31</v>
      </c>
      <c r="D3" s="6" t="s">
        <v>118</v>
      </c>
      <c r="E3" s="6" t="s">
        <v>119</v>
      </c>
      <c r="F3" s="6" t="s">
        <v>92</v>
      </c>
      <c r="G3" s="6" t="s">
        <v>120</v>
      </c>
    </row>
    <row r="4" spans="1:7" ht="16.5" x14ac:dyDescent="0.15">
      <c r="A4" s="6" t="s">
        <v>121</v>
      </c>
      <c r="B4" s="6" t="s">
        <v>39</v>
      </c>
      <c r="D4" s="6" t="s">
        <v>122</v>
      </c>
      <c r="E4" s="6" t="s">
        <v>32</v>
      </c>
      <c r="F4" s="6" t="s">
        <v>123</v>
      </c>
      <c r="G4" s="6" t="s">
        <v>124</v>
      </c>
    </row>
    <row r="5" spans="1:7" ht="16.5" x14ac:dyDescent="0.15">
      <c r="A5" s="6" t="s">
        <v>125</v>
      </c>
      <c r="B5" s="6" t="s">
        <v>50</v>
      </c>
      <c r="D5" s="6" t="s">
        <v>126</v>
      </c>
      <c r="E5" s="6" t="s">
        <v>127</v>
      </c>
      <c r="G5" s="6" t="s">
        <v>128</v>
      </c>
    </row>
    <row r="6" spans="1:7" ht="16.5" x14ac:dyDescent="0.15">
      <c r="B6" s="6" t="s">
        <v>112</v>
      </c>
      <c r="D6" s="6" t="s">
        <v>44</v>
      </c>
      <c r="E6" s="6" t="s">
        <v>129</v>
      </c>
      <c r="G6" s="6" t="s">
        <v>112</v>
      </c>
    </row>
    <row r="7" spans="1:7" ht="16.5" x14ac:dyDescent="0.15">
      <c r="D7" s="6" t="s">
        <v>33</v>
      </c>
      <c r="G7" s="6" t="s">
        <v>74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元件库</vt:lpstr>
      <vt:lpstr>铜排规格库</vt:lpstr>
      <vt:lpstr>电气规则</vt:lpstr>
      <vt:lpstr>相序相色</vt:lpstr>
      <vt:lpstr>枚举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德育 张</cp:lastModifiedBy>
  <dcterms:created xsi:type="dcterms:W3CDTF">2026-06-21T11:31:20Z</dcterms:created>
  <dcterms:modified xsi:type="dcterms:W3CDTF">2026-06-21T14:38:32Z</dcterms:modified>
</cp:coreProperties>
</file>